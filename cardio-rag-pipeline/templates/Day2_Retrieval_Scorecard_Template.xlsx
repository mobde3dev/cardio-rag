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_Scorecard" sheetId="1" state="visible" r:id="rId1"/>
    <sheet name="Facilitator_SpotCheck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FFFFFF"/>
      <sz val="10"/>
    </font>
    <font>
      <name val="Segoe UI"/>
      <b val="1"/>
      <color rgb="00000000"/>
      <sz val="9.5"/>
    </font>
    <font>
      <name val="Segoe UI"/>
      <color rgb="00000000"/>
      <sz val="9.5"/>
    </font>
  </fonts>
  <fills count="5">
    <fill>
      <patternFill/>
    </fill>
    <fill>
      <patternFill patternType="gray125"/>
    </fill>
    <fill>
      <patternFill patternType="solid">
        <fgColor rgb="00F0F4F9"/>
        <bgColor rgb="00F0F4F9"/>
      </patternFill>
    </fill>
    <fill>
      <patternFill patternType="solid">
        <fgColor rgb="0024436F"/>
        <bgColor rgb="0024436F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medium">
        <color rgb="00B0C4DE"/>
      </left>
      <right style="medium">
        <color rgb="00B0C4DE"/>
      </right>
      <top style="medium">
        <color rgb="00B0C4DE"/>
      </top>
      <bottom style="medium">
        <color rgb="00B0C4DE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4" borderId="2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4" borderId="2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9C0006"/>
        <sz val="9.5"/>
      </font>
      <fill>
        <patternFill patternType="solid">
          <fgColor rgb="00FFC7CE"/>
          <bgColor rgb="00FFC7CE"/>
        </patternFill>
      </fill>
    </dxf>
    <dxf>
      <font>
        <name val="Segoe UI"/>
        <b val="1"/>
        <color rgb="00006100"/>
        <sz val="9.5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5" customWidth="1" min="3" max="3"/>
    <col width="26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4" customWidth="1" min="11" max="11"/>
    <col width="15" customWidth="1" min="12" max="12"/>
    <col width="14" customWidth="1" min="13" max="13"/>
    <col width="16" customWidth="1" min="14" max="14"/>
    <col width="15" customWidth="1" min="15" max="15"/>
    <col width="25" customWidth="1" min="16" max="16"/>
  </cols>
  <sheetData>
    <row r="1">
      <c r="A1" s="1" t="inlineStr">
        <is>
          <t>CARDIORAG — DAY 2 RETRIEVAL SCORECARD &amp; BENCHMARK</t>
        </is>
      </c>
    </row>
    <row r="2">
      <c r="A2" s="2" t="inlineStr">
        <is>
          <t>Instructions: Enter 1 (Relevant) or 0 (Irrelevant) in Columns F-J for retrieved chunks. Precision@5, Hit Rate, and MRR calculate automatically. Weak questions are flagged in RED.</t>
        </is>
      </c>
    </row>
    <row r="4">
      <c r="B4" s="3" t="inlineStr">
        <is>
          <t>TEAM AVERAGE PRECISION@5</t>
        </is>
      </c>
      <c r="C4" s="4" t="n"/>
      <c r="D4" s="4" t="n"/>
      <c r="F4" s="3" t="inlineStr">
        <is>
          <t>OVERALL HIT RATE (FOUND? %)</t>
        </is>
      </c>
      <c r="G4" s="4" t="n"/>
      <c r="H4" s="4" t="n"/>
      <c r="J4" s="3" t="inlineStr">
        <is>
          <t>REFUSAL ACCURACY %</t>
        </is>
      </c>
      <c r="K4" s="4" t="n"/>
      <c r="L4" s="4" t="n"/>
      <c r="N4" s="3" t="inlineStr">
        <is>
          <t>MEAN RECIPROCAL RANK (MRR)</t>
        </is>
      </c>
      <c r="O4" s="4" t="n"/>
      <c r="P4" s="4" t="n"/>
    </row>
    <row r="5">
      <c r="B5" s="5">
        <f>AVERAGE(K9:K24)</f>
        <v/>
      </c>
      <c r="C5" s="4" t="n"/>
      <c r="D5" s="4" t="n"/>
      <c r="F5" s="5">
        <f>COUNTIF(L9:L24, "YES")/(COUNTA(C9:C24)-COUNTIF(D9:D24, "*expect refusal*"))</f>
        <v/>
      </c>
      <c r="G5" s="4" t="n"/>
      <c r="H5" s="4" t="n"/>
      <c r="J5" s="5">
        <f>COUNTIF(L9:L24, "Refusal Pass")/COUNTIF(D9:D24, "*expect refusal*")</f>
        <v/>
      </c>
      <c r="K5" s="4" t="n"/>
      <c r="L5" s="4" t="n"/>
      <c r="N5" s="6">
        <f>AVERAGE(N9:N24)</f>
        <v/>
      </c>
      <c r="O5" s="4" t="n"/>
      <c r="P5" s="4" t="n"/>
    </row>
    <row r="6">
      <c r="B6" s="4" t="n"/>
      <c r="C6" s="4" t="n"/>
      <c r="D6" s="4" t="n"/>
      <c r="F6" s="4" t="n"/>
      <c r="G6" s="4" t="n"/>
      <c r="H6" s="4" t="n"/>
      <c r="J6" s="4" t="n"/>
      <c r="K6" s="4" t="n"/>
      <c r="L6" s="4" t="n"/>
      <c r="N6" s="4" t="n"/>
      <c r="O6" s="4" t="n"/>
      <c r="P6" s="4" t="n"/>
    </row>
    <row r="8">
      <c r="A8" s="7" t="inlineStr">
        <is>
          <t>ID</t>
        </is>
      </c>
      <c r="B8" s="7" t="inlineStr">
        <is>
          <t>Guideline</t>
        </is>
      </c>
      <c r="C8" s="7" t="inlineStr">
        <is>
          <t>Evaluation Question</t>
        </is>
      </c>
      <c r="D8" s="7" t="inlineStr">
        <is>
          <t>Expected Target Source</t>
        </is>
      </c>
      <c r="E8" s="7" t="inlineStr">
        <is>
          <t>Expected Chunk ID</t>
        </is>
      </c>
      <c r="F8" s="7" t="inlineStr">
        <is>
          <t>Chunk 1</t>
        </is>
      </c>
      <c r="G8" s="7" t="inlineStr">
        <is>
          <t>Chunk 2</t>
        </is>
      </c>
      <c r="H8" s="7" t="inlineStr">
        <is>
          <t>Chunk 3</t>
        </is>
      </c>
      <c r="I8" s="7" t="inlineStr">
        <is>
          <t>Chunk 4</t>
        </is>
      </c>
      <c r="J8" s="7" t="inlineStr">
        <is>
          <t>Chunk 5</t>
        </is>
      </c>
      <c r="K8" s="7" t="inlineStr">
        <is>
          <t>Precision@5</t>
        </is>
      </c>
      <c r="L8" s="7" t="inlineStr">
        <is>
          <t>Found? (Hit@5)</t>
        </is>
      </c>
      <c r="M8" s="7" t="inlineStr">
        <is>
          <t>First Hit Rank</t>
        </is>
      </c>
      <c r="N8" s="7" t="inlineStr">
        <is>
          <t>Reciprocal Rank</t>
        </is>
      </c>
      <c r="O8" s="7" t="inlineStr">
        <is>
          <t>Spot-Checked?</t>
        </is>
      </c>
      <c r="P8" s="7" t="inlineStr">
        <is>
          <t>Facilitator Notes</t>
        </is>
      </c>
    </row>
    <row r="9">
      <c r="A9" s="8" t="inlineStr">
        <is>
          <t>WHO_01</t>
        </is>
      </c>
      <c r="B9" s="8" t="inlineStr">
        <is>
          <t>WHO_2021</t>
        </is>
      </c>
      <c r="C9" s="9" t="inlineStr">
        <is>
          <t>What BP threshold should trigger starting medication?</t>
        </is>
      </c>
      <c r="D9" s="9" t="inlineStr">
        <is>
          <t>Recommendation 1, Page 3</t>
        </is>
      </c>
      <c r="E9" s="8" t="inlineStr">
        <is>
          <t>WHO03_3.1_REC_001</t>
        </is>
      </c>
      <c r="F9" s="10" t="n">
        <v>1</v>
      </c>
      <c r="G9" s="10" t="n">
        <v>1</v>
      </c>
      <c r="H9" s="10" t="n">
        <v>0</v>
      </c>
      <c r="I9" s="10" t="n">
        <v>0</v>
      </c>
      <c r="J9" s="10" t="n">
        <v>0</v>
      </c>
      <c r="K9" s="11">
        <f>IF(ISNUMBER(SEARCH("expect refusal", D9)), IF(SUM(F9:J9)=0, 1, 0), SUM(F9:J9)/5)</f>
        <v/>
      </c>
      <c r="L9" s="10">
        <f>IF(ISNUMBER(SEARCH("expect refusal", D9)), IF(SUM(F9:J9)=0, "Refusal Pass", "Refusal Fail"), IF(SUM(F9:J9)&gt;0, "YES", "NO"))</f>
        <v/>
      </c>
      <c r="M9" s="8">
        <f>IF(ISNUMBER(SEARCH("expect refusal", D9)), "N/A", IF(F9=1, 1, IF(G9=1, 2, IF(H9=1, 3, IF(I9=1, 4, IF(J9=1, 5, 0))))))</f>
        <v/>
      </c>
      <c r="N9" s="12">
        <f>IF(ISNUMBER(SEARCH("expect refusal", D9)), IF(SUM(F9:J9)=0, 1, 0), IF(M9&gt;0, 1/M9, 0))</f>
        <v/>
      </c>
      <c r="O9" s="8" t="inlineStr">
        <is>
          <t>Pending</t>
        </is>
      </c>
      <c r="P9" s="13" t="inlineStr"/>
    </row>
    <row r="10">
      <c r="A10" s="14" t="inlineStr">
        <is>
          <t>WHO_02</t>
        </is>
      </c>
      <c r="B10" s="14" t="inlineStr">
        <is>
          <t>WHO_2021</t>
        </is>
      </c>
      <c r="C10" s="15" t="inlineStr">
        <is>
          <t>Are laboratory tests required before starting pharmacological treatment?</t>
        </is>
      </c>
      <c r="D10" s="15" t="inlineStr">
        <is>
          <t>Recommendation 2, Page 5</t>
        </is>
      </c>
      <c r="E10" s="14" t="inlineStr">
        <is>
          <t>WHO03_3.2_REC_001</t>
        </is>
      </c>
      <c r="F10" s="16" t="n">
        <v>1</v>
      </c>
      <c r="G10" s="16" t="n">
        <v>1</v>
      </c>
      <c r="H10" s="16" t="n">
        <v>0</v>
      </c>
      <c r="I10" s="16" t="n">
        <v>0</v>
      </c>
      <c r="J10" s="16" t="n">
        <v>0</v>
      </c>
      <c r="K10" s="17">
        <f>IF(ISNUMBER(SEARCH("expect refusal", D10)), IF(SUM(F10:J10)=0, 1, 0), SUM(F10:J10)/5)</f>
        <v/>
      </c>
      <c r="L10" s="16">
        <f>IF(ISNUMBER(SEARCH("expect refusal", D10)), IF(SUM(F10:J10)=0, "Refusal Pass", "Refusal Fail"), IF(SUM(F10:J10)&gt;0, "YES", "NO"))</f>
        <v/>
      </c>
      <c r="M10" s="14">
        <f>IF(ISNUMBER(SEARCH("expect refusal", D10)), "N/A", IF(F10=1, 1, IF(G10=1, 2, IF(H10=1, 3, IF(I10=1, 4, IF(J10=1, 5, 0))))))</f>
        <v/>
      </c>
      <c r="N10" s="18">
        <f>IF(ISNUMBER(SEARCH("expect refusal", D10)), IF(SUM(F10:J10)=0, 1, 0), IF(M10&gt;0, 1/M10, 0))</f>
        <v/>
      </c>
      <c r="O10" s="14" t="inlineStr">
        <is>
          <t>Pending</t>
        </is>
      </c>
      <c r="P10" s="19" t="inlineStr"/>
    </row>
    <row r="11">
      <c r="A11" s="8" t="inlineStr">
        <is>
          <t>WHO_03</t>
        </is>
      </c>
      <c r="B11" s="8" t="inlineStr">
        <is>
          <t>WHO_2021</t>
        </is>
      </c>
      <c r="C11" s="9" t="inlineStr">
        <is>
          <t>When should cardiovascular disease risk assessment be conducted?</t>
        </is>
      </c>
      <c r="D11" s="9" t="inlineStr">
        <is>
          <t>Recommendation 3, Page 6</t>
        </is>
      </c>
      <c r="E11" s="8" t="inlineStr">
        <is>
          <t>WHO03_3.3_REC_001</t>
        </is>
      </c>
      <c r="F11" s="10" t="n">
        <v>1</v>
      </c>
      <c r="G11" s="10" t="n">
        <v>0</v>
      </c>
      <c r="H11" s="10" t="n">
        <v>1</v>
      </c>
      <c r="I11" s="10" t="n">
        <v>0</v>
      </c>
      <c r="J11" s="10" t="n">
        <v>0</v>
      </c>
      <c r="K11" s="11">
        <f>IF(ISNUMBER(SEARCH("expect refusal", D11)), IF(SUM(F11:J11)=0, 1, 0), SUM(F11:J11)/5)</f>
        <v/>
      </c>
      <c r="L11" s="10">
        <f>IF(ISNUMBER(SEARCH("expect refusal", D11)), IF(SUM(F11:J11)=0, "Refusal Pass", "Refusal Fail"), IF(SUM(F11:J11)&gt;0, "YES", "NO"))</f>
        <v/>
      </c>
      <c r="M11" s="8">
        <f>IF(ISNUMBER(SEARCH("expect refusal", D11)), "N/A", IF(F11=1, 1, IF(G11=1, 2, IF(H11=1, 3, IF(I11=1, 4, IF(J11=1, 5, 0))))))</f>
        <v/>
      </c>
      <c r="N11" s="12">
        <f>IF(ISNUMBER(SEARCH("expect refusal", D11)), IF(SUM(F11:J11)=0, 1, 0), IF(M11&gt;0, 1/M11, 0))</f>
        <v/>
      </c>
      <c r="O11" s="8" t="inlineStr">
        <is>
          <t>Pending</t>
        </is>
      </c>
      <c r="P11" s="13" t="inlineStr"/>
    </row>
    <row r="12">
      <c r="A12" s="14" t="inlineStr">
        <is>
          <t>WHO_04</t>
        </is>
      </c>
      <c r="B12" s="14" t="inlineStr">
        <is>
          <t>WHO_2021</t>
        </is>
      </c>
      <c r="C12" s="15" t="inlineStr">
        <is>
          <t>Which drug classes are recommended as first-line agents for hypertension?</t>
        </is>
      </c>
      <c r="D12" s="15" t="inlineStr">
        <is>
          <t>Recommendation 4, Page 7</t>
        </is>
      </c>
      <c r="E12" s="14" t="inlineStr">
        <is>
          <t>WHO03_3.4_REC_001</t>
        </is>
      </c>
      <c r="F12" s="16" t="n">
        <v>1</v>
      </c>
      <c r="G12" s="16" t="n">
        <v>1</v>
      </c>
      <c r="H12" s="16" t="n">
        <v>0</v>
      </c>
      <c r="I12" s="16" t="n">
        <v>0</v>
      </c>
      <c r="J12" s="16" t="n">
        <v>0</v>
      </c>
      <c r="K12" s="17">
        <f>IF(ISNUMBER(SEARCH("expect refusal", D12)), IF(SUM(F12:J12)=0, 1, 0), SUM(F12:J12)/5)</f>
        <v/>
      </c>
      <c r="L12" s="16">
        <f>IF(ISNUMBER(SEARCH("expect refusal", D12)), IF(SUM(F12:J12)=0, "Refusal Pass", "Refusal Fail"), IF(SUM(F12:J12)&gt;0, "YES", "NO"))</f>
        <v/>
      </c>
      <c r="M12" s="14">
        <f>IF(ISNUMBER(SEARCH("expect refusal", D12)), "N/A", IF(F12=1, 1, IF(G12=1, 2, IF(H12=1, 3, IF(I12=1, 4, IF(J12=1, 5, 0))))))</f>
        <v/>
      </c>
      <c r="N12" s="18">
        <f>IF(ISNUMBER(SEARCH("expect refusal", D12)), IF(SUM(F12:J12)=0, 1, 0), IF(M12&gt;0, 1/M12, 0))</f>
        <v/>
      </c>
      <c r="O12" s="14" t="inlineStr">
        <is>
          <t>Pending</t>
        </is>
      </c>
      <c r="P12" s="19" t="inlineStr"/>
    </row>
    <row r="13">
      <c r="A13" s="8" t="inlineStr">
        <is>
          <t>WHO_05</t>
        </is>
      </c>
      <c r="B13" s="8" t="inlineStr">
        <is>
          <t>WHO_2021</t>
        </is>
      </c>
      <c r="C13" s="9" t="inlineStr">
        <is>
          <t>When is combination therapy recommended as initial treatment?</t>
        </is>
      </c>
      <c r="D13" s="9" t="inlineStr">
        <is>
          <t>Recommendation 5, Page 8</t>
        </is>
      </c>
      <c r="E13" s="8" t="inlineStr">
        <is>
          <t>WHO03_3.5_REC_001</t>
        </is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</v>
      </c>
      <c r="K13" s="11">
        <f>IF(ISNUMBER(SEARCH("expect refusal", D13)), IF(SUM(F13:J13)=0, 1, 0), SUM(F13:J13)/5)</f>
        <v/>
      </c>
      <c r="L13" s="10">
        <f>IF(ISNUMBER(SEARCH("expect refusal", D13)), IF(SUM(F13:J13)=0, "Refusal Pass", "Refusal Fail"), IF(SUM(F13:J13)&gt;0, "YES", "NO"))</f>
        <v/>
      </c>
      <c r="M13" s="8">
        <f>IF(ISNUMBER(SEARCH("expect refusal", D13)), "N/A", IF(F13=1, 1, IF(G13=1, 2, IF(H13=1, 3, IF(I13=1, 4, IF(J13=1, 5, 0))))))</f>
        <v/>
      </c>
      <c r="N13" s="12">
        <f>IF(ISNUMBER(SEARCH("expect refusal", D13)), IF(SUM(F13:J13)=0, 1, 0), IF(M13&gt;0, 1/M13, 0))</f>
        <v/>
      </c>
      <c r="O13" s="8" t="inlineStr">
        <is>
          <t>Pending</t>
        </is>
      </c>
      <c r="P13" s="13" t="inlineStr"/>
    </row>
    <row r="14">
      <c r="A14" s="14" t="inlineStr">
        <is>
          <t>WHO_06</t>
        </is>
      </c>
      <c r="B14" s="14" t="inlineStr">
        <is>
          <t>WHO_2021</t>
        </is>
      </c>
      <c r="C14" s="15" t="inlineStr">
        <is>
          <t>What is the target BP for a patient with known CVD?</t>
        </is>
      </c>
      <c r="D14" s="15" t="inlineStr">
        <is>
          <t>Section 3.6, Page 9</t>
        </is>
      </c>
      <c r="E14" s="14" t="inlineStr">
        <is>
          <t>WHO03_3.6_REC_002</t>
        </is>
      </c>
      <c r="F14" s="16" t="n">
        <v>1</v>
      </c>
      <c r="G14" s="16" t="n">
        <v>1</v>
      </c>
      <c r="H14" s="16" t="n">
        <v>0</v>
      </c>
      <c r="I14" s="16" t="n">
        <v>0</v>
      </c>
      <c r="J14" s="16" t="n">
        <v>0</v>
      </c>
      <c r="K14" s="17">
        <f>IF(ISNUMBER(SEARCH("expect refusal", D14)), IF(SUM(F14:J14)=0, 1, 0), SUM(F14:J14)/5)</f>
        <v/>
      </c>
      <c r="L14" s="16">
        <f>IF(ISNUMBER(SEARCH("expect refusal", D14)), IF(SUM(F14:J14)=0, "Refusal Pass", "Refusal Fail"), IF(SUM(F14:J14)&gt;0, "YES", "NO"))</f>
        <v/>
      </c>
      <c r="M14" s="14">
        <f>IF(ISNUMBER(SEARCH("expect refusal", D14)), "N/A", IF(F14=1, 1, IF(G14=1, 2, IF(H14=1, 3, IF(I14=1, 4, IF(J14=1, 5, 0))))))</f>
        <v/>
      </c>
      <c r="N14" s="18">
        <f>IF(ISNUMBER(SEARCH("expect refusal", D14)), IF(SUM(F14:J14)=0, 1, 0), IF(M14&gt;0, 1/M14, 0))</f>
        <v/>
      </c>
      <c r="O14" s="14" t="inlineStr">
        <is>
          <t>Pending</t>
        </is>
      </c>
      <c r="P14" s="19" t="inlineStr"/>
    </row>
    <row r="15">
      <c r="A15" s="8" t="inlineStr">
        <is>
          <t>WHO_07</t>
        </is>
      </c>
      <c r="B15" s="8" t="inlineStr">
        <is>
          <t>WHO_2021</t>
        </is>
      </c>
      <c r="C15" s="9" t="inlineStr">
        <is>
          <t>Can nurses or pharmacists prescribe treatment?</t>
        </is>
      </c>
      <c r="D15" s="9" t="inlineStr">
        <is>
          <t>Section 3.8, Page 10</t>
        </is>
      </c>
      <c r="E15" s="8" t="inlineStr">
        <is>
          <t>WHO03_3.8_REC_001</t>
        </is>
      </c>
      <c r="F15" s="10" t="n">
        <v>1</v>
      </c>
      <c r="G15" s="10" t="n">
        <v>1</v>
      </c>
      <c r="H15" s="10" t="n">
        <v>0</v>
      </c>
      <c r="I15" s="10" t="n">
        <v>0</v>
      </c>
      <c r="J15" s="10" t="n">
        <v>0</v>
      </c>
      <c r="K15" s="11">
        <f>IF(ISNUMBER(SEARCH("expect refusal", D15)), IF(SUM(F15:J15)=0, 1, 0), SUM(F15:J15)/5)</f>
        <v/>
      </c>
      <c r="L15" s="10">
        <f>IF(ISNUMBER(SEARCH("expect refusal", D15)), IF(SUM(F15:J15)=0, "Refusal Pass", "Refusal Fail"), IF(SUM(F15:J15)&gt;0, "YES", "NO"))</f>
        <v/>
      </c>
      <c r="M15" s="8">
        <f>IF(ISNUMBER(SEARCH("expect refusal", D15)), "N/A", IF(F15=1, 1, IF(G15=1, 2, IF(H15=1, 3, IF(I15=1, 4, IF(J15=1, 5, 0))))))</f>
        <v/>
      </c>
      <c r="N15" s="12">
        <f>IF(ISNUMBER(SEARCH("expect refusal", D15)), IF(SUM(F15:J15)=0, 1, 0), IF(M15&gt;0, 1/M15, 0))</f>
        <v/>
      </c>
      <c r="O15" s="8" t="inlineStr">
        <is>
          <t>Pending</t>
        </is>
      </c>
      <c r="P15" s="13" t="inlineStr"/>
    </row>
    <row r="16">
      <c r="A16" s="14" t="inlineStr">
        <is>
          <t>WHO_08</t>
        </is>
      </c>
      <c r="B16" s="14" t="inlineStr">
        <is>
          <t>WHO_2021</t>
        </is>
      </c>
      <c r="C16" s="15" t="inlineStr">
        <is>
          <t>What's the recommended breast cancer screening interval?</t>
        </is>
      </c>
      <c r="D16" s="15" t="inlineStr">
        <is>
          <t>Not covered — expect refusal</t>
        </is>
      </c>
      <c r="E16" s="14" t="inlineStr">
        <is>
          <t>OUT_OF_SCOPE</t>
        </is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7">
        <f>IF(ISNUMBER(SEARCH("expect refusal", D16)), IF(SUM(F16:J16)=0, 1, 0), SUM(F16:J16)/5)</f>
        <v/>
      </c>
      <c r="L16" s="16">
        <f>IF(ISNUMBER(SEARCH("expect refusal", D16)), IF(SUM(F16:J16)=0, "Refusal Pass", "Refusal Fail"), IF(SUM(F16:J16)&gt;0, "YES", "NO"))</f>
        <v/>
      </c>
      <c r="M16" s="14">
        <f>IF(ISNUMBER(SEARCH("expect refusal", D16)), "N/A", IF(F16=1, 1, IF(G16=1, 2, IF(H16=1, 3, IF(I16=1, 4, IF(J16=1, 5, 0))))))</f>
        <v/>
      </c>
      <c r="N16" s="18">
        <f>IF(ISNUMBER(SEARCH("expect refusal", D16)), IF(SUM(F16:J16)=0, 1, 0), IF(M16&gt;0, 1/M16, 0))</f>
        <v/>
      </c>
      <c r="O16" s="14" t="inlineStr">
        <is>
          <t>Pending</t>
        </is>
      </c>
      <c r="P16" s="19" t="inlineStr"/>
    </row>
    <row r="17">
      <c r="A17" s="8" t="inlineStr">
        <is>
          <t>NICE_01</t>
        </is>
      </c>
      <c r="B17" s="8" t="inlineStr">
        <is>
          <t>NICE_2023</t>
        </is>
      </c>
      <c r="C17" s="9" t="inlineStr">
        <is>
          <t>What risk assessment tool is recommended for calculating 10-year CVD risk?</t>
        </is>
      </c>
      <c r="D17" s="9" t="inlineStr">
        <is>
          <t>Recommendation 1.1.7, Page 5</t>
        </is>
      </c>
      <c r="E17" s="8" t="inlineStr">
        <is>
          <t>NICE3_1.1.7_REC</t>
        </is>
      </c>
      <c r="F17" s="10" t="n">
        <v>1</v>
      </c>
      <c r="G17" s="10" t="n">
        <v>1</v>
      </c>
      <c r="H17" s="10" t="n">
        <v>0</v>
      </c>
      <c r="I17" s="10" t="n">
        <v>0</v>
      </c>
      <c r="J17" s="10" t="n">
        <v>0</v>
      </c>
      <c r="K17" s="11">
        <f>IF(ISNUMBER(SEARCH("expect refusal", D17)), IF(SUM(F17:J17)=0, 1, 0), SUM(F17:J17)/5)</f>
        <v/>
      </c>
      <c r="L17" s="10">
        <f>IF(ISNUMBER(SEARCH("expect refusal", D17)), IF(SUM(F17:J17)=0, "Refusal Pass", "Refusal Fail"), IF(SUM(F17:J17)&gt;0, "YES", "NO"))</f>
        <v/>
      </c>
      <c r="M17" s="8">
        <f>IF(ISNUMBER(SEARCH("expect refusal", D17)), "N/A", IF(F17=1, 1, IF(G17=1, 2, IF(H17=1, 3, IF(I17=1, 4, IF(J17=1, 5, 0))))))</f>
        <v/>
      </c>
      <c r="N17" s="12">
        <f>IF(ISNUMBER(SEARCH("expect refusal", D17)), IF(SUM(F17:J17)=0, 1, 0), IF(M17&gt;0, 1/M17, 0))</f>
        <v/>
      </c>
      <c r="O17" s="8" t="inlineStr">
        <is>
          <t>Pending</t>
        </is>
      </c>
      <c r="P17" s="13" t="inlineStr"/>
    </row>
    <row r="18">
      <c r="A18" s="14" t="inlineStr">
        <is>
          <t>NICE_02</t>
        </is>
      </c>
      <c r="B18" s="14" t="inlineStr">
        <is>
          <t>NICE_2023</t>
        </is>
      </c>
      <c r="C18" s="15" t="inlineStr">
        <is>
          <t>At what 10-year CVD risk threshold should atorvastatin 20 mg be offered for primary prevention?</t>
        </is>
      </c>
      <c r="D18" s="15" t="inlineStr">
        <is>
          <t>Recommendation 1.6.7, Page 21</t>
        </is>
      </c>
      <c r="E18" s="14" t="inlineStr">
        <is>
          <t>NICE3_1.6.7_REC</t>
        </is>
      </c>
      <c r="F18" s="16" t="n">
        <v>1</v>
      </c>
      <c r="G18" s="16" t="n">
        <v>0</v>
      </c>
      <c r="H18" s="16" t="n">
        <v>0</v>
      </c>
      <c r="I18" s="16" t="n">
        <v>0</v>
      </c>
      <c r="J18" s="16" t="n">
        <v>0</v>
      </c>
      <c r="K18" s="17">
        <f>IF(ISNUMBER(SEARCH("expect refusal", D18)), IF(SUM(F18:J18)=0, 1, 0), SUM(F18:J18)/5)</f>
        <v/>
      </c>
      <c r="L18" s="16">
        <f>IF(ISNUMBER(SEARCH("expect refusal", D18)), IF(SUM(F18:J18)=0, "Refusal Pass", "Refusal Fail"), IF(SUM(F18:J18)&gt;0, "YES", "NO"))</f>
        <v/>
      </c>
      <c r="M18" s="14">
        <f>IF(ISNUMBER(SEARCH("expect refusal", D18)), "N/A", IF(F18=1, 1, IF(G18=1, 2, IF(H18=1, 3, IF(I18=1, 4, IF(J18=1, 5, 0))))))</f>
        <v/>
      </c>
      <c r="N18" s="18">
        <f>IF(ISNUMBER(SEARCH("expect refusal", D18)), IF(SUM(F18:J18)=0, 1, 0), IF(M18&gt;0, 1/M18, 0))</f>
        <v/>
      </c>
      <c r="O18" s="14" t="inlineStr">
        <is>
          <t>Pending</t>
        </is>
      </c>
      <c r="P18" s="19" t="inlineStr"/>
    </row>
    <row r="19">
      <c r="A19" s="8" t="inlineStr">
        <is>
          <t>NICE_03</t>
        </is>
      </c>
      <c r="B19" s="8" t="inlineStr">
        <is>
          <t>NICE_2023</t>
        </is>
      </c>
      <c r="C19" s="9" t="inlineStr">
        <is>
          <t>What statin and dose is recommended for secondary prevention of CVD?</t>
        </is>
      </c>
      <c r="D19" s="9" t="inlineStr">
        <is>
          <t>Recommendation 1.7.2, Page 26</t>
        </is>
      </c>
      <c r="E19" s="8" t="inlineStr">
        <is>
          <t>NICE3_1.7.2_REC</t>
        </is>
      </c>
      <c r="F19" s="10" t="n">
        <v>1</v>
      </c>
      <c r="G19" s="10" t="n">
        <v>1</v>
      </c>
      <c r="H19" s="10" t="n">
        <v>0</v>
      </c>
      <c r="I19" s="10" t="n">
        <v>0</v>
      </c>
      <c r="J19" s="10" t="n">
        <v>0</v>
      </c>
      <c r="K19" s="11">
        <f>IF(ISNUMBER(SEARCH("expect refusal", D19)), IF(SUM(F19:J19)=0, 1, 0), SUM(F19:J19)/5)</f>
        <v/>
      </c>
      <c r="L19" s="10">
        <f>IF(ISNUMBER(SEARCH("expect refusal", D19)), IF(SUM(F19:J19)=0, "Refusal Pass", "Refusal Fail"), IF(SUM(F19:J19)&gt;0, "YES", "NO"))</f>
        <v/>
      </c>
      <c r="M19" s="8">
        <f>IF(ISNUMBER(SEARCH("expect refusal", D19)), "N/A", IF(F19=1, 1, IF(G19=1, 2, IF(H19=1, 3, IF(I19=1, 4, IF(J19=1, 5, 0))))))</f>
        <v/>
      </c>
      <c r="N19" s="12">
        <f>IF(ISNUMBER(SEARCH("expect refusal", D19)), IF(SUM(F19:J19)=0, 1, 0), IF(M19&gt;0, 1/M19, 0))</f>
        <v/>
      </c>
      <c r="O19" s="8" t="inlineStr">
        <is>
          <t>Pending</t>
        </is>
      </c>
      <c r="P19" s="13" t="inlineStr"/>
    </row>
    <row r="20">
      <c r="A20" s="14" t="inlineStr">
        <is>
          <t>NICE_04</t>
        </is>
      </c>
      <c r="B20" s="14" t="inlineStr">
        <is>
          <t>NICE_2023</t>
        </is>
      </c>
      <c r="C20" s="15" t="inlineStr">
        <is>
          <t>What is the target lipid level for secondary prevention of CVD?</t>
        </is>
      </c>
      <c r="D20" s="15" t="inlineStr">
        <is>
          <t>Recommendation 1.7.1, Page 26</t>
        </is>
      </c>
      <c r="E20" s="14" t="inlineStr">
        <is>
          <t>NICE3_1.7.1_REC</t>
        </is>
      </c>
      <c r="F20" s="16" t="n">
        <v>1</v>
      </c>
      <c r="G20" s="16" t="n">
        <v>0</v>
      </c>
      <c r="H20" s="16" t="n">
        <v>0</v>
      </c>
      <c r="I20" s="16" t="n">
        <v>0</v>
      </c>
      <c r="J20" s="16" t="n">
        <v>0</v>
      </c>
      <c r="K20" s="17">
        <f>IF(ISNUMBER(SEARCH("expect refusal", D20)), IF(SUM(F20:J20)=0, 1, 0), SUM(F20:J20)/5)</f>
        <v/>
      </c>
      <c r="L20" s="16">
        <f>IF(ISNUMBER(SEARCH("expect refusal", D20)), IF(SUM(F20:J20)=0, "Refusal Pass", "Refusal Fail"), IF(SUM(F20:J20)&gt;0, "YES", "NO"))</f>
        <v/>
      </c>
      <c r="M20" s="14">
        <f>IF(ISNUMBER(SEARCH("expect refusal", D20)), "N/A", IF(F20=1, 1, IF(G20=1, 2, IF(H20=1, 3, IF(I20=1, 4, IF(J20=1, 5, 0))))))</f>
        <v/>
      </c>
      <c r="N20" s="18">
        <f>IF(ISNUMBER(SEARCH("expect refusal", D20)), IF(SUM(F20:J20)=0, 1, 0), IF(M20&gt;0, 1/M20, 0))</f>
        <v/>
      </c>
      <c r="O20" s="14" t="inlineStr">
        <is>
          <t>Pending</t>
        </is>
      </c>
      <c r="P20" s="19" t="inlineStr"/>
    </row>
    <row r="21">
      <c r="A21" s="8" t="inlineStr">
        <is>
          <t>NICE_05</t>
        </is>
      </c>
      <c r="B21" s="8" t="inlineStr">
        <is>
          <t>NICE_2023</t>
        </is>
      </c>
      <c r="C21" s="9" t="inlineStr">
        <is>
          <t>What statin treatment is recommended for adults with chronic kidney disease (CKD)?</t>
        </is>
      </c>
      <c r="D21" s="9" t="inlineStr">
        <is>
          <t>Recommendation 1.8.1, Page 35</t>
        </is>
      </c>
      <c r="E21" s="8" t="inlineStr">
        <is>
          <t>NICE3_1.8.1_REC</t>
        </is>
      </c>
      <c r="F21" s="10" t="n">
        <v>1</v>
      </c>
      <c r="G21" s="10" t="n">
        <v>1</v>
      </c>
      <c r="H21" s="10" t="n">
        <v>0</v>
      </c>
      <c r="I21" s="10" t="n">
        <v>0</v>
      </c>
      <c r="J21" s="10" t="n">
        <v>0</v>
      </c>
      <c r="K21" s="11">
        <f>IF(ISNUMBER(SEARCH("expect refusal", D21)), IF(SUM(F21:J21)=0, 1, 0), SUM(F21:J21)/5)</f>
        <v/>
      </c>
      <c r="L21" s="10">
        <f>IF(ISNUMBER(SEARCH("expect refusal", D21)), IF(SUM(F21:J21)=0, "Refusal Pass", "Refusal Fail"), IF(SUM(F21:J21)&gt;0, "YES", "NO"))</f>
        <v/>
      </c>
      <c r="M21" s="8">
        <f>IF(ISNUMBER(SEARCH("expect refusal", D21)), "N/A", IF(F21=1, 1, IF(G21=1, 2, IF(H21=1, 3, IF(I21=1, 4, IF(J21=1, 5, 0))))))</f>
        <v/>
      </c>
      <c r="N21" s="12">
        <f>IF(ISNUMBER(SEARCH("expect refusal", D21)), IF(SUM(F21:J21)=0, 1, 0), IF(M21&gt;0, 1/M21, 0))</f>
        <v/>
      </c>
      <c r="O21" s="8" t="inlineStr">
        <is>
          <t>Pending</t>
        </is>
      </c>
      <c r="P21" s="13" t="inlineStr"/>
    </row>
    <row r="22">
      <c r="A22" s="14" t="inlineStr">
        <is>
          <t>NICE_06</t>
        </is>
      </c>
      <c r="B22" s="14" t="inlineStr">
        <is>
          <t>NICE_2023</t>
        </is>
      </c>
      <c r="C22" s="15" t="inlineStr">
        <is>
          <t>Should aspirin be routinely offered for primary prevention of CVD?</t>
        </is>
      </c>
      <c r="D22" s="15" t="inlineStr">
        <is>
          <t>Recommendation 1.2.1, Page 13</t>
        </is>
      </c>
      <c r="E22" s="14" t="inlineStr">
        <is>
          <t>NICE3_1.2.1_REC</t>
        </is>
      </c>
      <c r="F22" s="16" t="n">
        <v>1</v>
      </c>
      <c r="G22" s="16" t="n">
        <v>0</v>
      </c>
      <c r="H22" s="16" t="n">
        <v>0</v>
      </c>
      <c r="I22" s="16" t="n">
        <v>0</v>
      </c>
      <c r="J22" s="16" t="n">
        <v>0</v>
      </c>
      <c r="K22" s="17">
        <f>IF(ISNUMBER(SEARCH("expect refusal", D22)), IF(SUM(F22:J22)=0, 1, 0), SUM(F22:J22)/5)</f>
        <v/>
      </c>
      <c r="L22" s="16">
        <f>IF(ISNUMBER(SEARCH("expect refusal", D22)), IF(SUM(F22:J22)=0, "Refusal Pass", "Refusal Fail"), IF(SUM(F22:J22)&gt;0, "YES", "NO"))</f>
        <v/>
      </c>
      <c r="M22" s="14">
        <f>IF(ISNUMBER(SEARCH("expect refusal", D22)), "N/A", IF(F22=1, 1, IF(G22=1, 2, IF(H22=1, 3, IF(I22=1, 4, IF(J22=1, 5, 0))))))</f>
        <v/>
      </c>
      <c r="N22" s="18">
        <f>IF(ISNUMBER(SEARCH("expect refusal", D22)), IF(SUM(F22:J22)=0, 1, 0), IF(M22&gt;0, 1/M22, 0))</f>
        <v/>
      </c>
      <c r="O22" s="14" t="inlineStr">
        <is>
          <t>Pending</t>
        </is>
      </c>
      <c r="P22" s="19" t="inlineStr"/>
    </row>
    <row r="23">
      <c r="A23" s="8" t="inlineStr">
        <is>
          <t>NICE_07</t>
        </is>
      </c>
      <c r="B23" s="8" t="inlineStr">
        <is>
          <t>NICE_2023</t>
        </is>
      </c>
      <c r="C23" s="9" t="inlineStr">
        <is>
          <t>What treatment is recommended if statins are contraindicated or not tolerated?</t>
        </is>
      </c>
      <c r="D23" s="9" t="inlineStr">
        <is>
          <t>Recommendation 1.10.1, Page 38</t>
        </is>
      </c>
      <c r="E23" s="8" t="inlineStr">
        <is>
          <t>NICE3_1.10.1_REC</t>
        </is>
      </c>
      <c r="F23" s="10" t="n">
        <v>1</v>
      </c>
      <c r="G23" s="10" t="n">
        <v>1</v>
      </c>
      <c r="H23" s="10" t="n">
        <v>0</v>
      </c>
      <c r="I23" s="10" t="n">
        <v>0</v>
      </c>
      <c r="J23" s="10" t="n">
        <v>0</v>
      </c>
      <c r="K23" s="11">
        <f>IF(ISNUMBER(SEARCH("expect refusal", D23)), IF(SUM(F23:J23)=0, 1, 0), SUM(F23:J23)/5)</f>
        <v/>
      </c>
      <c r="L23" s="10">
        <f>IF(ISNUMBER(SEARCH("expect refusal", D23)), IF(SUM(F23:J23)=0, "Refusal Pass", "Refusal Fail"), IF(SUM(F23:J23)&gt;0, "YES", "NO"))</f>
        <v/>
      </c>
      <c r="M23" s="8">
        <f>IF(ISNUMBER(SEARCH("expect refusal", D23)), "N/A", IF(F23=1, 1, IF(G23=1, 2, IF(H23=1, 3, IF(I23=1, 4, IF(J23=1, 5, 0))))))</f>
        <v/>
      </c>
      <c r="N23" s="12">
        <f>IF(ISNUMBER(SEARCH("expect refusal", D23)), IF(SUM(F23:J23)=0, 1, 0), IF(M23&gt;0, 1/M23, 0))</f>
        <v/>
      </c>
      <c r="O23" s="8" t="inlineStr">
        <is>
          <t>Pending</t>
        </is>
      </c>
      <c r="P23" s="13" t="inlineStr"/>
    </row>
    <row r="24">
      <c r="A24" s="14" t="inlineStr">
        <is>
          <t>NICE_08</t>
        </is>
      </c>
      <c r="B24" s="14" t="inlineStr">
        <is>
          <t>NICE_2023</t>
        </is>
      </c>
      <c r="C24" s="15" t="inlineStr">
        <is>
          <t>What is the recommended antibiotic regimen for acute appendicitis?</t>
        </is>
      </c>
      <c r="D24" s="15" t="inlineStr">
        <is>
          <t>Not covered — expect refusal</t>
        </is>
      </c>
      <c r="E24" s="14" t="inlineStr">
        <is>
          <t>OUT_OF_SCOPE</t>
        </is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7">
        <f>IF(ISNUMBER(SEARCH("expect refusal", D24)), IF(SUM(F24:J24)=0, 1, 0), SUM(F24:J24)/5)</f>
        <v/>
      </c>
      <c r="L24" s="16">
        <f>IF(ISNUMBER(SEARCH("expect refusal", D24)), IF(SUM(F24:J24)=0, "Refusal Pass", "Refusal Fail"), IF(SUM(F24:J24)&gt;0, "YES", "NO"))</f>
        <v/>
      </c>
      <c r="M24" s="14">
        <f>IF(ISNUMBER(SEARCH("expect refusal", D24)), "N/A", IF(F24=1, 1, IF(G24=1, 2, IF(H24=1, 3, IF(I24=1, 4, IF(J24=1, 5, 0))))))</f>
        <v/>
      </c>
      <c r="N24" s="18">
        <f>IF(ISNUMBER(SEARCH("expect refusal", D24)), IF(SUM(F24:J24)=0, 1, 0), IF(M24&gt;0, 1/M24, 0))</f>
        <v/>
      </c>
      <c r="O24" s="14" t="inlineStr">
        <is>
          <t>Pending</t>
        </is>
      </c>
      <c r="P24" s="19" t="inlineStr"/>
    </row>
  </sheetData>
  <mergeCells count="10">
    <mergeCell ref="B5:D6"/>
    <mergeCell ref="F5:H6"/>
    <mergeCell ref="A1:P1"/>
    <mergeCell ref="B4:D4"/>
    <mergeCell ref="J5:L6"/>
    <mergeCell ref="F4:H4"/>
    <mergeCell ref="N5:P6"/>
    <mergeCell ref="J4:L4"/>
    <mergeCell ref="N4:P4"/>
    <mergeCell ref="A2:P2"/>
  </mergeCells>
  <conditionalFormatting sqref="K9:K24">
    <cfRule type="cellIs" priority="1" operator="lessThan" dxfId="0" stopIfTrue="1">
      <formula>0.20</formula>
    </cfRule>
    <cfRule type="cellIs" priority="2" operator="greaterThanOrEqual" dxfId="1" stopIfTrue="1">
      <formula>0.40</formula>
    </cfRule>
  </conditionalFormatting>
  <conditionalFormatting sqref="L9:L24">
    <cfRule type="cellIs" priority="3" operator="equal" dxfId="0" stopIfTrue="1">
      <formula>"NO"</formula>
    </cfRule>
    <cfRule type="cellIs" priority="4" operator="equal" dxfId="1" stopIfTrue="1">
      <formula>"YES"</formula>
    </cfRule>
    <cfRule type="cellIs" priority="5" operator="equal" dxfId="1" stopIfTrue="1">
      <formula>"Refusal Pass"</formula>
    </cfRule>
    <cfRule type="cellIs" priority="6" operator="equal" dxfId="0" stopIfTrue="1">
      <formula>"Refusal 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4" customWidth="1" min="5" max="5"/>
    <col width="20" customWidth="1" min="6" max="6"/>
    <col width="20" customWidth="1" min="7" max="7"/>
  </cols>
  <sheetData>
    <row r="1">
      <c r="A1" s="20" t="inlineStr">
        <is>
          <t>DAY 2 FACILITATOR SPOT-CHECK AUDIT LOG</t>
        </is>
      </c>
    </row>
    <row r="2">
      <c r="A2" s="21" t="inlineStr">
        <is>
          <t>Mandatory in-person audit: Facilitator randomly selects at least 1 real query per team to verify live retrieval against reported scorecard.</t>
        </is>
      </c>
    </row>
    <row r="4">
      <c r="A4" s="22" t="inlineStr">
        <is>
          <t>Team / Table</t>
        </is>
      </c>
      <c r="B4" s="22" t="inlineStr">
        <is>
          <t>Query ID Selected</t>
        </is>
      </c>
      <c r="C4" s="22" t="inlineStr">
        <is>
          <t>Reported P@5</t>
        </is>
      </c>
      <c r="D4" s="22" t="inlineStr">
        <is>
          <t>Verified Live P@5</t>
        </is>
      </c>
      <c r="E4" s="22" t="inlineStr">
        <is>
          <t>Delta Match?</t>
        </is>
      </c>
      <c r="F4" s="22" t="inlineStr">
        <is>
          <t>Facilitator Name</t>
        </is>
      </c>
      <c r="G4" s="22" t="inlineStr">
        <is>
          <t>Signature &amp; Time</t>
        </is>
      </c>
    </row>
    <row r="5">
      <c r="A5" s="23" t="n"/>
      <c r="B5" s="23" t="n"/>
      <c r="C5" s="23" t="n"/>
      <c r="D5" s="23" t="n"/>
      <c r="E5" s="23" t="n"/>
      <c r="F5" s="23" t="n"/>
      <c r="G5" s="23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3" t="n"/>
      <c r="B7" s="23" t="n"/>
      <c r="C7" s="23" t="n"/>
      <c r="D7" s="23" t="n"/>
      <c r="E7" s="23" t="n"/>
      <c r="F7" s="23" t="n"/>
      <c r="G7" s="23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3" t="n"/>
      <c r="B11" s="23" t="n"/>
      <c r="C11" s="23" t="n"/>
      <c r="D11" s="23" t="n"/>
      <c r="E11" s="23" t="n"/>
      <c r="F11" s="23" t="n"/>
      <c r="G11" s="23" t="n"/>
    </row>
    <row r="12">
      <c r="A12" s="24" t="n"/>
      <c r="B12" s="24" t="n"/>
      <c r="C12" s="24" t="n"/>
      <c r="D12" s="24" t="n"/>
      <c r="E12" s="24" t="n"/>
      <c r="F12" s="24" t="n"/>
      <c r="G12" s="24" t="n"/>
    </row>
    <row r="13">
      <c r="A13" s="23" t="n"/>
      <c r="B13" s="23" t="n"/>
      <c r="C13" s="23" t="n"/>
      <c r="D13" s="23" t="n"/>
      <c r="E13" s="23" t="n"/>
      <c r="F13" s="23" t="n"/>
      <c r="G13" s="23" t="n"/>
    </row>
    <row r="14">
      <c r="A14" s="24" t="n"/>
      <c r="B14" s="24" t="n"/>
      <c r="C14" s="24" t="n"/>
      <c r="D14" s="24" t="n"/>
      <c r="E14" s="24" t="n"/>
      <c r="F14" s="24" t="n"/>
      <c r="G14" s="2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2026-08-19T11:19:16Z</dcterms:created>
  <dcterms:modified xsi:type="dcterms:W3CDTF">2026-08-19T11:19:16Z</dcterms:modified>
</cp:coreProperties>
</file>